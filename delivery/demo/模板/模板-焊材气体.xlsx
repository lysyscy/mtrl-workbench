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655" tabRatio="600" firstSheet="0" activeTab="1" autoFilterDateGrouping="1"/>
  </bookViews>
  <sheets>
    <sheet name="焊材" sheetId="1" state="visible" r:id="rId1"/>
    <sheet name="气" sheetId="2" state="visible" r:id="rId2"/>
  </sheets>
  <definedNames>
    <definedName name="DATA_START" localSheetId="0">焊材!$A$2</definedName>
    <definedName name="DATA_START" localSheetId="1">气!$A$2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sz val="11"/>
    </font>
    <font>
      <name val="Microsoft YaHei"/>
      <charset val="134"/>
      <b val="1"/>
      <color rgb="FF000000"/>
      <sz val="11"/>
    </font>
    <font>
      <name val="Microsoft YaHei"/>
      <charset val="134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O9"/>
  <sheetViews>
    <sheetView showZeros="0" zoomScale="175" zoomScaleNormal="175" workbookViewId="0">
      <pane xSplit="1" topLeftCell="B1" activePane="topRight" state="frozen"/>
      <selection activeCell="A1" sqref="A1"/>
      <selection pane="topRight" activeCell="A2" sqref="A2"/>
    </sheetView>
  </sheetViews>
  <sheetFormatPr baseColWidth="8" defaultColWidth="9" defaultRowHeight="13.5"/>
  <cols>
    <col width="18.3416666666667" customWidth="1" style="6" min="1" max="1"/>
    <col width="22" customWidth="1" style="6" min="2" max="2"/>
    <col width="7.84166666666667" customWidth="1" style="6" min="3" max="14"/>
    <col width="8.84166666666667" customWidth="1" style="6" min="15" max="15"/>
  </cols>
  <sheetData>
    <row r="1" ht="22.5" customHeight="1" s="6">
      <c r="A1" s="1" t="inlineStr">
        <is>
          <t>焊材</t>
        </is>
      </c>
      <c r="B1" s="1" t="inlineStr">
        <is>
          <t>2025-11及之前</t>
        </is>
      </c>
      <c r="C1" s="1" t="inlineStr">
        <is>
          <t>1月</t>
        </is>
      </c>
      <c r="D1" s="1" t="inlineStr">
        <is>
          <t>2月</t>
        </is>
      </c>
      <c r="E1" s="1" t="inlineStr">
        <is>
          <t>3月</t>
        </is>
      </c>
      <c r="F1" s="1" t="inlineStr">
        <is>
          <t>4月</t>
        </is>
      </c>
      <c r="G1" s="1" t="inlineStr">
        <is>
          <t>5月</t>
        </is>
      </c>
      <c r="H1" s="1" t="inlineStr">
        <is>
          <t>6月</t>
        </is>
      </c>
      <c r="I1" s="1" t="inlineStr">
        <is>
          <t>7月</t>
        </is>
      </c>
      <c r="J1" s="1" t="inlineStr">
        <is>
          <t>8月</t>
        </is>
      </c>
      <c r="K1" s="1" t="inlineStr">
        <is>
          <t>9月</t>
        </is>
      </c>
      <c r="L1" s="1" t="inlineStr">
        <is>
          <t>10月</t>
        </is>
      </c>
      <c r="M1" s="1" t="inlineStr">
        <is>
          <t>11月</t>
        </is>
      </c>
      <c r="N1" s="1" t="inlineStr">
        <is>
          <t>12月</t>
        </is>
      </c>
      <c r="O1" s="1" t="inlineStr">
        <is>
          <t>合计</t>
        </is>
      </c>
    </row>
    <row r="2" ht="22.5" customHeight="1" s="6">
      <c r="A2" s="4" t="inlineStr">
        <is>
          <t>DATA_START</t>
        </is>
      </c>
      <c r="B2" s="4" t="n">
        <v>221889.32</v>
      </c>
      <c r="C2" s="4" t="n">
        <v>3596</v>
      </c>
      <c r="D2" s="4" t="n"/>
      <c r="E2" s="4" t="n">
        <v>884.96</v>
      </c>
      <c r="F2" s="4" t="n">
        <v>13463.28</v>
      </c>
      <c r="G2" s="4" t="n">
        <v>1140</v>
      </c>
      <c r="H2" s="4" t="n">
        <v>5990</v>
      </c>
      <c r="I2" s="4" t="n">
        <v>1040.27</v>
      </c>
      <c r="J2" s="4" t="n">
        <v>665</v>
      </c>
      <c r="K2" s="4" t="n"/>
      <c r="L2" s="4" t="n"/>
      <c r="M2" s="4" t="n"/>
      <c r="N2" s="4" t="n"/>
      <c r="O2" s="4">
        <f>SUM(B2:N2)</f>
        <v/>
      </c>
    </row>
    <row r="3" ht="22.5" customHeight="1" s="6">
      <c r="A3" s="4" t="inlineStr">
        <is>
          <t>乌兰察布储能项目</t>
        </is>
      </c>
      <c r="B3" s="4" t="n">
        <v>136337.32</v>
      </c>
      <c r="C3" s="4" t="n">
        <v>3596</v>
      </c>
      <c r="D3" s="4" t="n"/>
      <c r="E3" s="4" t="n"/>
      <c r="F3" s="4" t="n"/>
      <c r="G3" s="4" t="n"/>
      <c r="H3" s="4" t="n">
        <v>1404</v>
      </c>
      <c r="I3" s="4" t="n"/>
      <c r="J3" s="4" t="n"/>
      <c r="K3" s="4" t="n"/>
      <c r="L3" s="4" t="n"/>
      <c r="M3" s="4" t="n"/>
      <c r="N3" s="4" t="n"/>
      <c r="O3" s="4">
        <f>SUM(B3:N3)</f>
        <v/>
      </c>
    </row>
    <row r="4" ht="22.5" customHeight="1" s="6">
      <c r="A4" s="4" t="inlineStr">
        <is>
          <t>大唐雷州发电项目</t>
        </is>
      </c>
      <c r="B4" s="4" t="n">
        <v>77652.19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>
        <f>SUM(B4:N4)</f>
        <v/>
      </c>
    </row>
    <row r="5" ht="22.5" customHeight="1" s="6">
      <c r="A5" s="4" t="inlineStr">
        <is>
          <t>新疆慧能项目</t>
        </is>
      </c>
      <c r="B5" s="4" t="n">
        <v>1838141.56</v>
      </c>
      <c r="C5" s="4" t="n">
        <v>29185.84</v>
      </c>
      <c r="D5" s="4" t="n"/>
      <c r="E5" s="4">
        <f>12106.2+973.45</f>
        <v/>
      </c>
      <c r="F5" s="4" t="n">
        <v>360132.75</v>
      </c>
      <c r="G5" s="4" t="n">
        <v>23185.85</v>
      </c>
      <c r="H5" s="4" t="n">
        <v>32980</v>
      </c>
      <c r="I5" s="4" t="n">
        <v>26951.33</v>
      </c>
      <c r="J5" s="4" t="n">
        <v>67831.87</v>
      </c>
      <c r="K5" s="4" t="n"/>
      <c r="L5" s="4" t="n"/>
      <c r="M5" s="4" t="n"/>
      <c r="N5" s="4" t="n"/>
      <c r="O5" s="4">
        <f>SUM(B5:N5)</f>
        <v/>
      </c>
    </row>
    <row r="6" ht="22.5" customHeight="1" s="6">
      <c r="A6" s="4" t="inlineStr">
        <is>
          <t>龙源纸业项目</t>
        </is>
      </c>
      <c r="B6" s="4" t="n"/>
      <c r="C6" s="4" t="n"/>
      <c r="D6" s="4" t="n">
        <v>514.5599999999999</v>
      </c>
      <c r="E6" s="4" t="n">
        <v>372.82</v>
      </c>
      <c r="F6" s="4" t="n">
        <v>372.82</v>
      </c>
      <c r="G6" s="4" t="n">
        <v>838.83</v>
      </c>
      <c r="H6" s="4" t="n">
        <v>672</v>
      </c>
      <c r="I6" s="4" t="n">
        <v>1118.45</v>
      </c>
      <c r="J6" s="4" t="n">
        <v>3821.36</v>
      </c>
      <c r="K6" s="4" t="n"/>
      <c r="L6" s="4" t="n"/>
      <c r="M6" s="4" t="n"/>
      <c r="N6" s="4" t="n"/>
      <c r="O6" s="4">
        <f>SUM(B6:N6)</f>
        <v/>
      </c>
    </row>
    <row r="7" ht="22.5" customHeight="1" s="6">
      <c r="A7" s="4" t="inlineStr">
        <is>
          <t>内蒙古宜化项目</t>
        </is>
      </c>
      <c r="B7" s="4" t="n"/>
      <c r="C7" s="4" t="n"/>
      <c r="D7" s="4" t="n"/>
      <c r="E7" s="4">
        <f>6380+30973.45</f>
        <v/>
      </c>
      <c r="F7" s="4" t="n">
        <v>90</v>
      </c>
      <c r="G7" s="4" t="n">
        <v>27544.38</v>
      </c>
      <c r="H7" s="4" t="n">
        <v>7975</v>
      </c>
      <c r="I7" s="4" t="n">
        <v>17009.92</v>
      </c>
      <c r="J7" s="4" t="n">
        <v>8608.370000000001</v>
      </c>
      <c r="K7" s="4" t="n"/>
      <c r="L7" s="4" t="n"/>
      <c r="M7" s="4" t="n"/>
      <c r="N7" s="4" t="n"/>
      <c r="O7" s="4">
        <f>SUM(B7:N7)</f>
        <v/>
      </c>
    </row>
    <row r="8" ht="22.5" customHeight="1" s="6">
      <c r="A8" s="4" t="inlineStr">
        <is>
          <t>福建南平项目</t>
        </is>
      </c>
      <c r="B8" s="4" t="n"/>
      <c r="C8" s="4" t="n"/>
      <c r="D8" s="4" t="n"/>
      <c r="E8" s="4" t="n"/>
      <c r="F8" s="4" t="n">
        <v>13323.01</v>
      </c>
      <c r="G8" s="4" t="n">
        <v>32101.36</v>
      </c>
      <c r="H8" s="4" t="n">
        <v>25817.5</v>
      </c>
      <c r="I8" s="4" t="n">
        <v>10670.35</v>
      </c>
      <c r="J8" s="4" t="n">
        <v>2379.65</v>
      </c>
      <c r="K8" s="4" t="n"/>
      <c r="L8" s="4" t="n"/>
      <c r="M8" s="4" t="n"/>
      <c r="N8" s="4" t="n"/>
      <c r="O8" s="4">
        <f>SUM(B8:N8)</f>
        <v/>
      </c>
    </row>
    <row r="9" ht="22.5" customHeight="1" s="6">
      <c r="A9" s="5" t="n"/>
      <c r="B9" s="5" t="n"/>
      <c r="C9" s="5">
        <f>SUM(C2:C8)</f>
        <v/>
      </c>
      <c r="D9" s="5">
        <f>SUM(D2:D8)</f>
        <v/>
      </c>
      <c r="E9" s="5">
        <f>SUM(E2:E8)</f>
        <v/>
      </c>
      <c r="F9" s="5">
        <f>SUM(F2:F8)</f>
        <v/>
      </c>
      <c r="G9" s="5">
        <f>SUM(G2:G8)</f>
        <v/>
      </c>
      <c r="H9" s="5">
        <f>SUM(H2:H8)</f>
        <v/>
      </c>
      <c r="I9" s="5">
        <f>SUM(I2:I8)</f>
        <v/>
      </c>
      <c r="J9" s="5">
        <f>SUM(J2:J8)</f>
        <v/>
      </c>
      <c r="K9" s="5">
        <f>SUM(K2:K8)</f>
        <v/>
      </c>
      <c r="L9" s="5">
        <f>SUM(L2:L8)</f>
        <v/>
      </c>
      <c r="M9" s="5">
        <f>SUM(M2:M8)</f>
        <v/>
      </c>
      <c r="N9" s="5">
        <f>SUM(N2:N8)</f>
        <v/>
      </c>
      <c r="O9" s="5">
        <f>SUBTOTAL(9,O2:O8)</f>
        <v/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showZeros="0" tabSelected="1" zoomScale="175" zoomScaleNormal="175" workbookViewId="0">
      <pane xSplit="1" topLeftCell="B1" activePane="topRight" state="frozen"/>
      <selection activeCell="A1" sqref="A1"/>
      <selection pane="topRight" activeCell="J16" sqref="J16"/>
    </sheetView>
  </sheetViews>
  <sheetFormatPr baseColWidth="8" defaultColWidth="9" defaultRowHeight="13.5"/>
  <cols>
    <col width="18.3416666666667" customWidth="1" style="6" min="1" max="1"/>
    <col width="22" customWidth="1" style="6" min="2" max="2"/>
    <col width="7.84166666666667" customWidth="1" style="6" min="3" max="14"/>
    <col width="8.84166666666667" customWidth="1" style="6" min="15" max="15"/>
  </cols>
  <sheetData>
    <row r="1" ht="22.5" customHeight="1" s="6">
      <c r="A1" s="1" t="inlineStr">
        <is>
          <t>气</t>
        </is>
      </c>
      <c r="B1" s="1" t="inlineStr">
        <is>
          <t>2025-11及之前</t>
        </is>
      </c>
      <c r="C1" s="1" t="inlineStr">
        <is>
          <t>1月</t>
        </is>
      </c>
      <c r="D1" s="1" t="inlineStr">
        <is>
          <t>2月</t>
        </is>
      </c>
      <c r="E1" s="1" t="inlineStr">
        <is>
          <t>3月</t>
        </is>
      </c>
      <c r="F1" s="1" t="inlineStr">
        <is>
          <t>4月</t>
        </is>
      </c>
      <c r="G1" s="1" t="inlineStr">
        <is>
          <t>5月</t>
        </is>
      </c>
      <c r="H1" s="1" t="inlineStr">
        <is>
          <t>6月</t>
        </is>
      </c>
      <c r="I1" s="1" t="inlineStr">
        <is>
          <t>7月</t>
        </is>
      </c>
      <c r="J1" s="1" t="inlineStr">
        <is>
          <t>8月</t>
        </is>
      </c>
      <c r="K1" s="1" t="inlineStr">
        <is>
          <t>9月</t>
        </is>
      </c>
      <c r="L1" s="1" t="inlineStr">
        <is>
          <t>10月</t>
        </is>
      </c>
      <c r="M1" s="1" t="inlineStr">
        <is>
          <t>11月</t>
        </is>
      </c>
      <c r="N1" s="1" t="inlineStr">
        <is>
          <t>12月</t>
        </is>
      </c>
      <c r="O1" s="1" t="inlineStr">
        <is>
          <t>合计</t>
        </is>
      </c>
    </row>
    <row r="2" ht="22.5" customHeight="1" s="6">
      <c r="A2" s="4" t="inlineStr">
        <is>
          <t>DATA_START</t>
        </is>
      </c>
      <c r="B2" s="4" t="n">
        <v>178692.35</v>
      </c>
      <c r="C2" s="4" t="n">
        <v>11123.01</v>
      </c>
      <c r="D2" s="4" t="n"/>
      <c r="E2" s="4" t="n">
        <v>17009.74</v>
      </c>
      <c r="F2" s="4" t="n">
        <v>10650.45</v>
      </c>
      <c r="G2" s="4" t="n">
        <v>4769.03</v>
      </c>
      <c r="H2" s="4" t="n">
        <v>3679</v>
      </c>
      <c r="I2" s="4" t="n">
        <v>3951.33</v>
      </c>
      <c r="J2" s="4" t="n">
        <v>3832.75</v>
      </c>
      <c r="K2" s="4" t="n"/>
      <c r="L2" s="4" t="n"/>
      <c r="M2" s="4" t="n"/>
      <c r="N2" s="4" t="n"/>
      <c r="O2" s="4">
        <f>SUM(B2:N2)</f>
        <v/>
      </c>
    </row>
    <row r="3" ht="22.5" customHeight="1" s="6">
      <c r="A3" s="4" t="inlineStr">
        <is>
          <t>乌兰察布储能项目</t>
        </is>
      </c>
      <c r="B3" s="4" t="n">
        <v>84563.17</v>
      </c>
      <c r="C3" s="4" t="n">
        <v>4075</v>
      </c>
      <c r="D3" s="4" t="n"/>
      <c r="E3" s="4" t="n"/>
      <c r="F3" s="4" t="n">
        <v>1866</v>
      </c>
      <c r="G3" s="4" t="n"/>
      <c r="H3" s="4" t="n"/>
      <c r="I3" s="4" t="n"/>
      <c r="J3" s="4" t="n"/>
      <c r="K3" s="4" t="n"/>
      <c r="L3" s="4" t="n"/>
      <c r="M3" s="4" t="n"/>
      <c r="N3" s="4" t="n"/>
      <c r="O3" s="4">
        <f>SUM(B3:N3)</f>
        <v/>
      </c>
    </row>
    <row r="4" ht="22.5" customHeight="1" s="6">
      <c r="A4" s="4" t="inlineStr">
        <is>
          <t>大唐雷州发电项目</t>
        </is>
      </c>
      <c r="B4" s="4" t="n">
        <v>33282.29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>
        <f>SUM(B4:N4)</f>
        <v/>
      </c>
    </row>
    <row r="5" ht="22.5" customHeight="1" s="6">
      <c r="A5" s="4" t="inlineStr">
        <is>
          <t>新疆慧能项目</t>
        </is>
      </c>
      <c r="B5" s="4" t="n">
        <v>415865.5</v>
      </c>
      <c r="C5" s="4" t="n">
        <v>104194.7</v>
      </c>
      <c r="D5" s="4" t="n"/>
      <c r="E5" s="4" t="n">
        <v>7619.48</v>
      </c>
      <c r="F5" s="4" t="n"/>
      <c r="G5" s="4" t="n">
        <v>11808.51</v>
      </c>
      <c r="H5" s="4" t="n"/>
      <c r="I5" s="4" t="n">
        <v>23323.49</v>
      </c>
      <c r="J5" s="4" t="n">
        <v>20867.74</v>
      </c>
      <c r="K5" s="4" t="n"/>
      <c r="L5" s="4" t="n"/>
      <c r="M5" s="4" t="n"/>
      <c r="N5" s="4" t="n"/>
      <c r="O5" s="4">
        <f>SUM(B5:N5)</f>
        <v/>
      </c>
    </row>
    <row r="6" ht="22.5" customHeight="1" s="6">
      <c r="A6" s="4" t="inlineStr">
        <is>
          <t>龙源纸业项目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>
        <f>SUM(B6:N6)</f>
        <v/>
      </c>
    </row>
    <row r="7" ht="22.5" customHeight="1" s="6">
      <c r="A7" s="4" t="inlineStr">
        <is>
          <t>内蒙古宜化项目</t>
        </is>
      </c>
      <c r="B7" s="4" t="n"/>
      <c r="C7" s="4" t="n"/>
      <c r="D7" s="4" t="n"/>
      <c r="E7" s="4" t="n">
        <v>22699.11</v>
      </c>
      <c r="F7" s="4" t="n">
        <v>14329.2</v>
      </c>
      <c r="G7" s="4" t="n">
        <v>17225.67</v>
      </c>
      <c r="H7" s="4" t="n">
        <v>19638</v>
      </c>
      <c r="I7" s="4" t="n">
        <v>15168.14</v>
      </c>
      <c r="J7" s="4" t="n">
        <v>8008.85</v>
      </c>
      <c r="K7" s="4" t="n"/>
      <c r="L7" s="4" t="n"/>
      <c r="M7" s="4" t="n"/>
      <c r="N7" s="4" t="n"/>
      <c r="O7" s="4">
        <f>SUM(B7:N7)</f>
        <v/>
      </c>
    </row>
    <row r="8" ht="22.5" customHeight="1" s="6">
      <c r="A8" s="4" t="inlineStr">
        <is>
          <t>福建南平项目</t>
        </is>
      </c>
      <c r="B8" s="4" t="n"/>
      <c r="C8" s="4" t="n"/>
      <c r="D8" s="4" t="n"/>
      <c r="E8" s="4" t="n"/>
      <c r="F8" s="4" t="n">
        <v>2110.22</v>
      </c>
      <c r="G8" s="4" t="n">
        <v>15966.48</v>
      </c>
      <c r="H8" s="4" t="n">
        <v>19360</v>
      </c>
      <c r="I8" s="4" t="n">
        <v>23326.18</v>
      </c>
      <c r="J8" s="4" t="n">
        <v>12719.55</v>
      </c>
      <c r="K8" s="4" t="n"/>
      <c r="L8" s="4" t="n"/>
      <c r="M8" s="4" t="n"/>
      <c r="N8" s="4" t="n"/>
      <c r="O8" s="4">
        <f>SUM(B8:N8)</f>
        <v/>
      </c>
    </row>
    <row r="9">
      <c r="D9" s="0">
        <f>SUM(D2:D8)</f>
        <v/>
      </c>
      <c r="E9" s="0">
        <f>SUM(E2:E8)</f>
        <v/>
      </c>
      <c r="F9" s="0">
        <f>SUM(F2:F8)</f>
        <v/>
      </c>
      <c r="G9" s="0">
        <f>SUM(G2:G8)</f>
        <v/>
      </c>
      <c r="H9" s="0">
        <f>SUM(H2:H8)</f>
        <v/>
      </c>
      <c r="I9" s="0">
        <f>SUM(I2:I8)</f>
        <v/>
      </c>
      <c r="J9" s="0">
        <f>SUM(J2:J8)</f>
        <v/>
      </c>
      <c r="O9" s="0">
        <f>SUM(O2:O8)</f>
        <v/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2025-05-05T17:26:00Z</dcterms:created>
  <dcterms:modified xsi:type="dcterms:W3CDTF">2026-10-09T13:47:56Z</dcterms:modified>
  <cp:lastModifiedBy>史程远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i4>0</vt:i4>
  </property>
  <property name="KSOReadingLayout" fmtid="{D5CDD505-2E9C-101B-9397-08002B2CF9AE}" pid="3">
    <vt:bool>1</vt:bool>
  </property>
  <property name="ICV" fmtid="{D5CDD505-2E9C-101B-9397-08002B2CF9AE}" pid="4">
    <vt:lpwstr>5540E199116847F58B531447B53B6233_13</vt:lpwstr>
  </property>
  <property name="KSOProductBuildVer" fmtid="{D5CDD505-2E9C-101B-9397-08002B2CF9AE}" pid="5">
    <vt:lpwstr>2052-12.1.0.28488</vt:lpwstr>
  </property>
</Properties>
</file>