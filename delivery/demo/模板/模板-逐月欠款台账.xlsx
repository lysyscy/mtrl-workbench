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AI\PRD编写夹 - Workbuddy专用\demo\模板\"/>
    </mc:Choice>
  </mc:AlternateContent>
  <bookViews>
    <workbookView windowHeight="17655"/>
  </bookViews>
  <sheets>
    <sheet name="辅材" sheetId="14" r:id="rId1"/>
    <sheet name="机械" sheetId="13" r:id="rId2"/>
    <sheet name="特殊费用月报表" sheetId="12" r:id="rId3"/>
  </sheets>
  <definedNames>
    <definedName name="_xlnm.Print_Area" localSheetId="2">特殊费用月报表!#REF!</definedName>
    <definedName name="DATA_START" localSheetId="0">辅材!$A$3</definedName>
    <definedName name="DATA_START" localSheetId="1">机械!$A$3</definedName>
    <definedName name="DATA_START" localSheetId="2">特殊费用月报表!$A$3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<sst xmlns="http://schemas.openxmlformats.org/spreadsheetml/2006/main" count="35" uniqueCount="26">
  <si>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龙源纸业项目辅材欠款</t>
  </si>
  <si>
    <t>序号</t>
  </si>
  <si>
    <t>月份</t>
  </si>
  <si>
    <t>其他支出金额</t>
  </si>
  <si>
    <t>付款</t>
  </si>
  <si>
    <t>欠款</t>
  </si>
  <si>
    <t>备注</t>
  </si>
  <si>
    <t>DATA_START</t>
  </si>
  <si>
    <t>截止2026年3月底</t>
  </si>
  <si>
    <t>10151.8元5月份付款</t>
  </si>
  <si>
    <t>合计：</t>
  </si>
  <si>
    <t>龙源纸业项目机械费欠款</t>
  </si>
  <si>
    <t>截止2026年2月底</t>
  </si>
  <si>
    <t>截止4月三月份款项全付</t>
  </si>
  <si>
    <t>龙源纸业项目费用汇总表</t>
  </si>
  <si>
    <t>数据项</t>
  </si>
  <si>
    <t>3月份</t>
  </si>
  <si>
    <t>4月份</t>
  </si>
  <si>
    <t>5月份</t>
  </si>
  <si>
    <t>6月份</t>
  </si>
  <si>
    <t>7月份</t>
  </si>
  <si>
    <t>8月份</t>
  </si>
  <si>
    <t>合计</t>
  </si>
  <si>
    <t>机械用油：</t>
  </si>
  <si>
    <t>运费：</t>
  </si>
  <si>
    <t>临建：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</si>
</sst>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  <numFmt numFmtId="178" formatCode="0_ "/>
  </numFmts>
  <fonts count="30">
    <font>
      <sz val="12"/>
      <name val="宋体"/>
      <charset val="134"/>
    </font>
    <font>
      <b/>
      <sz val="18"/>
      <name val="宋体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b/>
      <sz val="12"/>
      <name val="宋体"/>
      <charset val="134"/>
    </font>
    <font>
      <b/>
      <sz val="16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b/>
      <sz val="9"/>
      <name val="宋体"/>
      <charset val="134"/>
    </font>
    <font>
      <b/>
      <sz val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0" fillId="0" borderId="0" xfId="0" applyFont="1"/>
    <xf numFmtId="0" fontId="0" fillId="0" borderId="0" xfId="0" applyFill="1"/>
    <xf numFmtId="0" fontId="4" fillId="0" borderId="0" xfId="0" applyFont="1"/>
    <xf numFmtId="0" fontId="5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/>
    <xf numFmtId="57" fontId="6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7" fillId="0" borderId="4" xfId="0" applyFont="1" applyFill="1" applyBorder="1"/>
    <xf numFmtId="0" fontId="8" fillId="0" borderId="0" xfId="0" applyFont="1" applyFill="1"/>
    <xf numFmtId="0" fontId="0" fillId="0" borderId="0" xfId="0" applyFill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Fill="1" applyBorder="1"/>
    <xf numFmtId="178" fontId="6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FF0000"/>
      <color rgb="00E0E0E0"/>
      <color rgb="00FFFF00"/>
      <color rgb="00FFC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workbookViewId="0">
      <selection activeCell="D13" sqref="D13"/>
    </sheetView>
  </sheetViews>
  <sheetFormatPr defaultColWidth="9" defaultRowHeight="14.25"/>
  <cols>
    <col min="1" max="1" width="3.5" customWidth="1"/>
    <col min="2" max="2" width="18.625" customWidth="1"/>
    <col min="3" max="3" width="15.25" customWidth="1"/>
    <col min="4" max="4" width="11.75" customWidth="1"/>
    <col min="5" max="5" width="10" customWidth="1"/>
    <col min="6" max="6" width="14.875" customWidth="1"/>
    <col min="7" max="7" width="29.75" style="31" customWidth="1"/>
    <col min="8" max="9" width="12.625" style="31"/>
    <col min="10" max="11" width="12.625"/>
    <col min="12" max="13" width="14" customWidth="1"/>
    <col min="14" max="14" width="12.625"/>
    <col min="15" max="15" width="10.375"/>
    <col min="16" max="16" width="11.5"/>
  </cols>
  <sheetData>
    <row r="1" ht="24" customHeight="1" spans="1:14">
      <c r="A1" s="11" t="s">
        <v>0</v>
      </c>
      <c r="B1" s="11"/>
      <c r="C1" s="11"/>
      <c r="D1" s="11"/>
      <c r="E1" s="11"/>
      <c r="F1" s="11"/>
    </row>
    <row r="2" ht="28.5" spans="1:14">
      <c r="A2" s="12" t="s">
        <v>1</v>
      </c>
      <c r="B2" s="13" t="s">
        <v>2</v>
      </c>
      <c r="C2" s="13" t="s">
        <v>3</v>
      </c>
      <c r="D2" s="14" t="s">
        <v>4</v>
      </c>
      <c r="E2" s="14" t="s">
        <v>5</v>
      </c>
      <c r="F2" s="15" t="s">
        <v>6</v>
      </c>
      <c r="G2"/>
      <c r="H2"/>
      <c r="I2"/>
    </row>
    <row r="3" s="8" customFormat="1" ht="23" customHeight="1" spans="1:14">
      <c r="A3" s="16" t="s">
        <v>7</v>
      </c>
      <c r="B3" s="16" t="s">
        <v>8</v>
      </c>
      <c r="C3" s="17">
        <v>243379</v>
      </c>
      <c r="D3" s="18">
        <f>233227.2+10151.8</f>
        <v>243379</v>
      </c>
      <c r="E3" s="18">
        <f t="shared" ref="E3:E8" si="0">C3-D3</f>
        <v>0</v>
      </c>
      <c r="F3" s="19" t="s">
        <v>9</v>
      </c>
      <c r="G3"/>
      <c r="H3"/>
      <c r="I3"/>
      <c r="J3"/>
      <c r="K3"/>
      <c r="L3"/>
      <c r="M3"/>
      <c r="N3"/>
    </row>
    <row r="4" s="9" customFormat="1" ht="19" customHeight="1" spans="1:14">
      <c r="A4" s="16">
        <v>2</v>
      </c>
      <c r="B4" s="21">
        <v>46113</v>
      </c>
      <c r="C4" s="17">
        <v>63569</v>
      </c>
      <c r="D4" s="22">
        <v>63569</v>
      </c>
      <c r="E4" s="22">
        <f t="shared" si="0"/>
        <v>0</v>
      </c>
      <c r="F4" s="23"/>
      <c r="G4"/>
      <c r="H4"/>
      <c r="I4"/>
      <c r="J4"/>
      <c r="K4"/>
      <c r="L4"/>
      <c r="M4"/>
      <c r="N4"/>
    </row>
    <row r="5" s="9" customFormat="1" ht="23" customHeight="1" spans="1:14">
      <c r="A5" s="16">
        <v>3</v>
      </c>
      <c r="B5" s="21">
        <v>46143</v>
      </c>
      <c r="C5" s="17">
        <v>132301.5</v>
      </c>
      <c r="D5" s="16">
        <v>132301.5</v>
      </c>
      <c r="E5" s="16">
        <f t="shared" si="0"/>
        <v>0</v>
      </c>
      <c r="F5" s="24"/>
      <c r="G5"/>
      <c r="H5"/>
      <c r="I5"/>
      <c r="J5"/>
      <c r="K5"/>
      <c r="L5"/>
      <c r="M5"/>
      <c r="N5"/>
    </row>
    <row r="6" s="9" customFormat="1" ht="23" customHeight="1" spans="1:14">
      <c r="A6" s="16">
        <v>4</v>
      </c>
      <c r="B6" s="21">
        <v>46174</v>
      </c>
      <c r="C6" s="17">
        <f>93771.78-3800</f>
        <v>89971.78</v>
      </c>
      <c r="D6" s="16">
        <f>89971.78</f>
        <v>89971.78</v>
      </c>
      <c r="E6" s="16">
        <f t="shared" si="0"/>
        <v>0</v>
      </c>
      <c r="F6" s="24"/>
      <c r="G6"/>
      <c r="H6"/>
      <c r="I6"/>
      <c r="J6"/>
      <c r="K6"/>
      <c r="L6"/>
      <c r="M6"/>
      <c r="N6"/>
    </row>
    <row r="7" s="9" customFormat="1" ht="23" customHeight="1" spans="1:14">
      <c r="A7" s="16">
        <v>5</v>
      </c>
      <c r="B7" s="21">
        <v>46204</v>
      </c>
      <c r="C7" s="17">
        <v>93193</v>
      </c>
      <c r="D7" s="16">
        <f>81193</f>
        <v>81193</v>
      </c>
      <c r="E7" s="16">
        <f t="shared" si="0"/>
        <v>12000</v>
      </c>
      <c r="F7" s="24"/>
      <c r="G7"/>
      <c r="H7"/>
      <c r="I7"/>
      <c r="J7"/>
      <c r="K7"/>
      <c r="L7"/>
      <c r="M7"/>
      <c r="N7"/>
    </row>
    <row r="8" s="9" customFormat="1" ht="19" customHeight="1" spans="1:14">
      <c r="A8" s="16">
        <v>6</v>
      </c>
      <c r="B8" s="21">
        <v>46235</v>
      </c>
      <c r="C8" s="17">
        <f>179882.66+5500</f>
        <v>185382.66</v>
      </c>
      <c r="D8" s="16">
        <f>5500</f>
        <v>5500</v>
      </c>
      <c r="E8" s="16">
        <f t="shared" si="0"/>
        <v>179882.66</v>
      </c>
      <c r="F8" s="24"/>
      <c r="G8" s="26"/>
      <c r="H8" s="26"/>
      <c r="I8" s="26"/>
    </row>
    <row r="9" ht="23" customHeight="1" spans="1:14">
      <c r="A9" s="16">
        <v>7</v>
      </c>
      <c r="B9" s="16"/>
      <c r="C9" s="17"/>
      <c r="D9" s="16"/>
      <c r="E9" s="16"/>
      <c r="F9" s="28"/>
    </row>
    <row r="10" s="9" customFormat="1" ht="23" customHeight="1" spans="1:14">
      <c r="A10" s="16">
        <v>8</v>
      </c>
      <c r="B10" s="16"/>
      <c r="C10" s="17"/>
      <c r="D10" s="16"/>
      <c r="E10" s="16"/>
      <c r="F10" s="28"/>
      <c r="G10" s="26"/>
      <c r="H10" s="26"/>
      <c r="I10" s="26"/>
    </row>
    <row r="11" s="9" customFormat="1" ht="23" customHeight="1" spans="1:14">
      <c r="A11" s="16">
        <v>9</v>
      </c>
      <c r="B11" s="29"/>
      <c r="C11" s="17"/>
      <c r="D11" s="16"/>
      <c r="E11" s="16"/>
      <c r="F11" s="28"/>
      <c r="G11" s="26"/>
      <c r="H11" s="26"/>
      <c r="I11" s="26"/>
    </row>
    <row r="12" s="9" customFormat="1" ht="23" customHeight="1" spans="1:14">
      <c r="A12" s="16">
        <v>10</v>
      </c>
      <c r="B12" s="29"/>
      <c r="C12" s="17"/>
      <c r="D12" s="16"/>
      <c r="E12" s="16"/>
      <c r="F12" s="28"/>
      <c r="G12" s="26"/>
      <c r="H12" s="26"/>
      <c r="I12" s="26"/>
    </row>
    <row r="13" s="9" customFormat="1" ht="23" customHeight="1" spans="1:14">
      <c r="A13" s="16">
        <v>11</v>
      </c>
      <c r="B13" s="16"/>
      <c r="C13" s="17"/>
      <c r="D13" s="16"/>
      <c r="E13" s="16"/>
      <c r="F13" s="28"/>
      <c r="G13" s="26"/>
      <c r="H13" s="26"/>
      <c r="I13" s="26"/>
    </row>
    <row r="14" s="9" customFormat="1" ht="23" customHeight="1" spans="1:14">
      <c r="A14" s="16">
        <v>12</v>
      </c>
      <c r="B14" s="16"/>
      <c r="C14" s="17"/>
      <c r="D14" s="16"/>
      <c r="E14" s="16"/>
      <c r="F14" s="28"/>
      <c r="G14" s="26"/>
      <c r="H14" s="26"/>
      <c r="I14" s="26"/>
    </row>
    <row r="15" s="9" customFormat="1" ht="23" customHeight="1" spans="1:14">
      <c r="A15" s="16">
        <v>13</v>
      </c>
      <c r="B15" s="16"/>
      <c r="C15" s="17"/>
      <c r="D15" s="16"/>
      <c r="E15" s="16"/>
      <c r="F15" s="28"/>
      <c r="G15" s="26"/>
      <c r="H15" s="26"/>
      <c r="I15" s="26"/>
    </row>
    <row r="16" ht="23" customHeight="1" spans="1:14">
      <c r="A16" s="16">
        <v>14</v>
      </c>
      <c r="B16" s="16"/>
      <c r="C16" s="17"/>
      <c r="D16" s="16"/>
      <c r="E16" s="16"/>
      <c r="F16" s="28"/>
    </row>
    <row r="17" ht="23" customHeight="1" spans="1:9">
      <c r="A17" s="16">
        <v>15</v>
      </c>
      <c r="B17" s="16"/>
      <c r="C17" s="17"/>
      <c r="D17" s="16"/>
      <c r="E17" s="16"/>
      <c r="F17" s="28"/>
    </row>
    <row r="18" ht="23" customHeight="1" spans="1:9">
      <c r="A18" s="16">
        <v>16</v>
      </c>
      <c r="B18" s="16"/>
      <c r="C18" s="17">
        <v>0</v>
      </c>
      <c r="D18" s="16"/>
      <c r="E18" s="16"/>
      <c r="F18" s="28"/>
    </row>
    <row r="19" s="10" customFormat="1" ht="21" customHeight="1" spans="1:9">
      <c r="A19" s="30"/>
      <c r="B19" s="30" t="s">
        <v>10</v>
      </c>
      <c r="C19" s="30">
        <f>SUM(C3:C18)</f>
        <v>807796.94</v>
      </c>
      <c r="D19" s="30">
        <f>SUM(D3:D18)</f>
        <v>615914.28</v>
      </c>
      <c r="E19" s="30">
        <f>C19-D19</f>
        <v>191882.66</v>
      </c>
      <c r="F19" s="30"/>
      <c r="G19" s="32"/>
      <c r="H19" s="32"/>
      <c r="I19" s="32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A3" sqref="A3"/>
    </sheetView>
  </sheetViews>
  <sheetFormatPr defaultColWidth="9" defaultRowHeight="14.25"/>
  <cols>
    <col min="1" max="1" width="3.5" customWidth="1"/>
    <col min="2" max="6" width="17.75" customWidth="1"/>
    <col min="7" max="7" width="16.875" customWidth="1"/>
    <col min="8" max="10" width="12.625"/>
    <col min="11" max="11" width="5.5" customWidth="1"/>
    <col min="12" max="12" width="12.625"/>
    <col min="13" max="13" width="10.375"/>
    <col min="14" max="14" width="11.5"/>
  </cols>
  <sheetData>
    <row r="1" ht="24" customHeight="1" spans="1:12">
      <c r="A1" s="11" t="s">
        <v>11</v>
      </c>
      <c r="B1" s="11"/>
      <c r="C1" s="11"/>
      <c r="D1" s="11"/>
      <c r="E1" s="11"/>
      <c r="F1" s="11"/>
    </row>
    <row r="2" ht="28.5" spans="1:12">
      <c r="A2" s="12" t="s">
        <v>1</v>
      </c>
      <c r="B2" s="13" t="s">
        <v>2</v>
      </c>
      <c r="C2" s="13" t="s">
        <v>3</v>
      </c>
      <c r="D2" s="14" t="s">
        <v>4</v>
      </c>
      <c r="E2" s="14" t="s">
        <v>5</v>
      </c>
      <c r="F2" s="15" t="s">
        <v>6</v>
      </c>
    </row>
    <row r="3" s="8" customFormat="1" ht="23" customHeight="1" spans="1:12">
      <c r="A3" s="16" t="s">
        <v>7</v>
      </c>
      <c r="B3" s="16" t="s">
        <v>12</v>
      </c>
      <c r="C3" s="17">
        <v>44460</v>
      </c>
      <c r="D3" s="18">
        <f>14850+27610+2000</f>
        <v>44460</v>
      </c>
      <c r="E3" s="18">
        <f>C3-D3</f>
        <v>0</v>
      </c>
      <c r="F3" s="19"/>
      <c r="L3" s="20"/>
    </row>
    <row r="4" s="9" customFormat="1" ht="19" customHeight="1" spans="1:12">
      <c r="A4" s="16">
        <v>2</v>
      </c>
      <c r="B4" s="21">
        <v>46082</v>
      </c>
      <c r="C4" s="17">
        <v>46330</v>
      </c>
      <c r="D4" s="22">
        <v>46330</v>
      </c>
      <c r="E4" s="22">
        <v>0</v>
      </c>
      <c r="F4" s="23" t="s">
        <v>13</v>
      </c>
    </row>
    <row r="5" s="9" customFormat="1" ht="23" customHeight="1" spans="1:12">
      <c r="A5" s="16">
        <v>3</v>
      </c>
      <c r="B5" s="21">
        <v>46113</v>
      </c>
      <c r="C5" s="17">
        <f>39110+5900</f>
        <v>45010</v>
      </c>
      <c r="D5" s="16">
        <v>45010</v>
      </c>
      <c r="E5" s="16">
        <f>C5-D5</f>
        <v>0</v>
      </c>
      <c r="F5" s="24"/>
    </row>
    <row r="6" s="9" customFormat="1" ht="23" customHeight="1" spans="1:12">
      <c r="A6" s="16">
        <v>4</v>
      </c>
      <c r="B6" s="21">
        <v>46143</v>
      </c>
      <c r="C6" s="17">
        <v>56140</v>
      </c>
      <c r="D6" s="16">
        <v>56140</v>
      </c>
      <c r="E6" s="16">
        <f>C6-D6</f>
        <v>0</v>
      </c>
      <c r="F6" s="24"/>
      <c r="G6" s="25"/>
    </row>
    <row r="7" s="9" customFormat="1" ht="23" customHeight="1" spans="1:12">
      <c r="A7" s="16">
        <v>5</v>
      </c>
      <c r="B7" s="21">
        <v>46174</v>
      </c>
      <c r="C7" s="26">
        <v>63155</v>
      </c>
      <c r="D7" s="17">
        <f>63155</f>
        <v>63155</v>
      </c>
      <c r="E7" s="16">
        <f>C7-D7</f>
        <v>0</v>
      </c>
      <c r="F7" s="24"/>
      <c r="G7" s="25"/>
    </row>
    <row r="8" s="9" customFormat="1" ht="19" customHeight="1" spans="1:12">
      <c r="A8" s="16">
        <v>6</v>
      </c>
      <c r="B8" s="21">
        <v>46204</v>
      </c>
      <c r="C8" s="17">
        <v>75190</v>
      </c>
      <c r="D8" s="27">
        <v>75190</v>
      </c>
      <c r="E8" s="16">
        <f>C8-D8</f>
        <v>0</v>
      </c>
      <c r="F8" s="24"/>
    </row>
    <row r="9" ht="23" customHeight="1" spans="1:12">
      <c r="A9" s="16">
        <v>7</v>
      </c>
      <c r="B9" s="21">
        <v>46235</v>
      </c>
      <c r="C9" s="17">
        <v>162490</v>
      </c>
      <c r="D9" s="16">
        <v>0</v>
      </c>
      <c r="E9" s="16">
        <f>C9-D9</f>
        <v>162490</v>
      </c>
      <c r="F9" s="28"/>
    </row>
    <row r="10" s="9" customFormat="1" ht="23" customHeight="1" spans="1:12">
      <c r="A10" s="16">
        <v>8</v>
      </c>
      <c r="B10" s="16"/>
      <c r="C10" s="17"/>
      <c r="D10" s="16"/>
      <c r="E10" s="16"/>
      <c r="F10" s="28"/>
    </row>
    <row r="11" s="9" customFormat="1" ht="23" customHeight="1" spans="1:12">
      <c r="A11" s="16">
        <v>9</v>
      </c>
      <c r="B11" s="29"/>
      <c r="C11" s="17"/>
      <c r="D11" s="16"/>
      <c r="E11" s="16"/>
      <c r="F11" s="28"/>
    </row>
    <row r="12" s="9" customFormat="1" ht="23" customHeight="1" spans="1:12">
      <c r="A12" s="16">
        <v>10</v>
      </c>
      <c r="B12" s="29"/>
      <c r="C12" s="17"/>
      <c r="D12" s="16"/>
      <c r="E12" s="16"/>
      <c r="F12" s="28"/>
    </row>
    <row r="13" s="9" customFormat="1" ht="23" customHeight="1" spans="1:12">
      <c r="A13" s="16">
        <v>11</v>
      </c>
      <c r="B13" s="16"/>
      <c r="C13" s="17"/>
      <c r="D13" s="16"/>
      <c r="E13" s="16"/>
      <c r="F13" s="28"/>
    </row>
    <row r="14" s="9" customFormat="1" ht="23" customHeight="1" spans="1:12">
      <c r="A14" s="16">
        <v>12</v>
      </c>
      <c r="B14" s="16"/>
      <c r="C14" s="17"/>
      <c r="D14" s="16"/>
      <c r="E14" s="16"/>
      <c r="F14" s="28"/>
    </row>
    <row r="15" s="9" customFormat="1" ht="23" customHeight="1" spans="1:12">
      <c r="A15" s="16">
        <v>13</v>
      </c>
      <c r="B15" s="16"/>
      <c r="C15" s="17"/>
      <c r="D15" s="16"/>
      <c r="E15" s="16"/>
      <c r="F15" s="28"/>
    </row>
    <row r="16" ht="23" customHeight="1" spans="1:12">
      <c r="A16" s="16">
        <v>14</v>
      </c>
      <c r="B16" s="16"/>
      <c r="C16" s="17"/>
      <c r="D16" s="16"/>
      <c r="E16" s="16"/>
      <c r="F16" s="28"/>
    </row>
    <row r="17" ht="23" customHeight="1" spans="1:6">
      <c r="A17" s="16">
        <v>15</v>
      </c>
      <c r="B17" s="16"/>
      <c r="C17" s="17"/>
      <c r="D17" s="16"/>
      <c r="E17" s="16"/>
      <c r="F17" s="28"/>
    </row>
    <row r="18" ht="23" customHeight="1" spans="1:6">
      <c r="A18" s="16">
        <v>16</v>
      </c>
      <c r="B18" s="16"/>
      <c r="C18" s="17"/>
      <c r="D18" s="16"/>
      <c r="E18" s="16"/>
      <c r="F18" s="28"/>
    </row>
    <row r="19" s="10" customFormat="1" ht="21" customHeight="1" spans="1:6">
      <c r="A19" s="30"/>
      <c r="B19" s="30" t="s">
        <v>10</v>
      </c>
      <c r="C19" s="30">
        <f>SUM(C3:C17)</f>
        <v>492775</v>
      </c>
      <c r="D19" s="30">
        <f>SUM(D3:D17)</f>
        <v>330285</v>
      </c>
      <c r="E19" s="30">
        <f>SUM(E3:E17)</f>
        <v>162490</v>
      </c>
      <c r="F19" s="30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"/>
  <sheetViews>
    <sheetView zoomScale="130" zoomScaleNormal="130" workbookViewId="0">
      <selection activeCell="L17" sqref="L17"/>
    </sheetView>
  </sheetViews>
  <sheetFormatPr defaultColWidth="9" defaultRowHeight="14.25" outlineLevelRow="5" outlineLevelCol="7"/>
  <cols>
    <col min="1" max="1" width="16.3416666666667" customWidth="1"/>
    <col min="2" max="2" width="9.84166666666667" customWidth="1"/>
    <col min="3" max="3" width="12.175" customWidth="1"/>
    <col min="4" max="7" width="11.175" customWidth="1"/>
    <col min="8" max="8" width="12.175" customWidth="1"/>
  </cols>
  <sheetData>
    <row r="1" ht="22.5" spans="1:8">
      <c r="A1" s="1" t="s">
        <v>14</v>
      </c>
      <c r="B1" s="1"/>
      <c r="C1" s="1"/>
      <c r="D1" s="1"/>
      <c r="E1" s="1"/>
      <c r="F1" s="1"/>
      <c r="G1" s="1"/>
      <c r="H1" s="1"/>
    </row>
    <row r="2" ht="18.5" customHeight="1" spans="1:8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</row>
    <row r="3" ht="18.5" customHeight="1" spans="1:8">
      <c r="A3" s="3" t="s">
        <v>7</v>
      </c>
      <c r="B3" s="4"/>
      <c r="C3" s="5">
        <v>120388.94</v>
      </c>
      <c r="D3" s="5">
        <v>63649.86</v>
      </c>
      <c r="E3" s="5">
        <v>10906.26</v>
      </c>
      <c r="F3" s="5">
        <v>12932.03</v>
      </c>
      <c r="G3" s="5">
        <v>40336.35</v>
      </c>
      <c r="H3" s="6">
        <f>SUM(B3:G3)</f>
        <v>248213.44</v>
      </c>
    </row>
    <row r="4" ht="18.5" customHeight="1" spans="1:8">
      <c r="A4" s="3" t="s">
        <v>23</v>
      </c>
      <c r="B4" s="4"/>
      <c r="C4" s="5">
        <v>20000</v>
      </c>
      <c r="D4" s="5">
        <v>10000</v>
      </c>
      <c r="E4" s="5"/>
      <c r="F4" s="5"/>
      <c r="G4" s="5"/>
      <c r="H4" s="6">
        <f>SUM(B4:G4)</f>
        <v>30000</v>
      </c>
    </row>
    <row r="5" ht="18.5" customHeight="1" spans="1:8">
      <c r="A5" s="3" t="s">
        <v>24</v>
      </c>
      <c r="B5" s="7">
        <v>27900</v>
      </c>
      <c r="C5" s="5"/>
      <c r="D5" s="5"/>
      <c r="E5" s="5"/>
      <c r="F5" s="5">
        <v>1205.61</v>
      </c>
      <c r="G5" s="5"/>
      <c r="H5" s="6">
        <f>SUM(B5:G5)</f>
        <v>29105.61</v>
      </c>
    </row>
    <row r="6" ht="18.5" customHeight="1" spans="1:8">
      <c r="A6" s="3" t="s">
        <v>25</v>
      </c>
      <c r="B6" s="4">
        <f>126480</f>
        <v>126480</v>
      </c>
      <c r="C6" s="5"/>
      <c r="D6" s="5">
        <v>44950</v>
      </c>
      <c r="E6" s="5"/>
      <c r="F6" s="5"/>
      <c r="G6" s="5"/>
      <c r="H6" s="6">
        <f>SUM(B6:G6)</f>
        <v>171430</v>
      </c>
    </row>
  </sheetData>
  <mergeCells count="1">
    <mergeCell ref="A1:H1"/>
  </mergeCells>
  <pageMargins left="0.75" right="0.75" top="1" bottom="1" header="0.5" footer="0.5"/>
  <pageSetup paperSize="9" scale="90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辅材</vt:lpstr>
      <vt:lpstr>机械</vt:lpstr>
      <vt:lpstr>特殊费用月报表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史程远</cp:lastModifiedBy>
  <dcterms:created xsi:type="dcterms:W3CDTF">1996-12-17T01:32:00Z</dcterms:created>
  <cp:lastPrinted>2022-05-10T07:47:00Z</cp:lastPrinted>
  <dcterms:modified xsi:type="dcterms:W3CDTF">2026-09-14T01:14:16Z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05E716557FCE4E91BC4B73922439B81A_13</vt:lpwstr>
  </property>
  <property fmtid="{D5CDD505-2E9C-101B-9397-08002B2CF9AE}" pid="4" name="CalculationRule">
    <vt:i4>0</vt:i4>
  </property>
</Properties>
</file>