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AI\PRD编写夹 - Workbuddy专用\demo\模板\"/>
    </mc:Choice>
  </mc:AlternateContent>
  <bookViews>
    <workbookView windowHeight="17655"/>
  </bookViews>
  <sheets>
    <sheet name="汇总表" sheetId="1" r:id="rId1"/>
  </sheets>
  <definedNames>
    <definedName name="DATA_START">汇总表!$A$4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<sst xmlns="http://schemas.openxmlformats.org/spreadsheetml/2006/main" count="28" uniqueCount="21">
  <si>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龙源纸业项目材料机械消耗汇总表</t>
  </si>
  <si>
    <t>单位：元</t>
  </si>
  <si>
    <t>序号</t>
  </si>
  <si>
    <t>时间</t>
  </si>
  <si>
    <t>线上入库（不含税）</t>
  </si>
  <si>
    <t>线下出库（不含税）</t>
  </si>
  <si>
    <t>分公司设备</t>
  </si>
  <si>
    <t>内部设备</t>
  </si>
  <si>
    <t>外租机械（含税）</t>
  </si>
  <si>
    <t>外租机械（不含税）</t>
  </si>
  <si>
    <t>主辅材</t>
  </si>
  <si>
    <t>工具</t>
  </si>
  <si>
    <t>劳保</t>
  </si>
  <si>
    <t>临时设施</t>
  </si>
  <si>
    <t>周转材料</t>
  </si>
  <si>
    <t>零租</t>
  </si>
  <si>
    <t>包月</t>
  </si>
  <si>
    <t>DATA_START</t>
  </si>
  <si>
    <t>小计</t>
  </si>
  <si>
    <t>合计：</t>
  </si>
  <si>
    <t>1、材料费用：财务数**元，项目金额为：**  差价**元为录入税差。                 2、机械费财务金额为**元，与项目统计金额一致。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</si>
</sst>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);[Red]\(#,##0.00\)"/>
  </numFmts>
  <fonts count="30">
    <font>
      <sz val="12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9"/>
      <name val="等线"/>
      <charset val="134"/>
    </font>
    <font>
      <sz val="10"/>
      <name val="宋体"/>
      <charset val="134"/>
      <scheme val="minor"/>
    </font>
    <font>
      <u/>
      <sz val="11"/>
      <color indexed="12"/>
      <name val="等线"/>
      <charset val="134"/>
    </font>
    <font>
      <u/>
      <sz val="11"/>
      <color rgb="FF800080"/>
      <name val="等线"/>
      <charset val="134"/>
    </font>
    <font>
      <sz val="11"/>
      <color indexed="10"/>
      <name val="等线"/>
      <charset val="134"/>
    </font>
    <font>
      <sz val="18"/>
      <color rgb="FF44546A"/>
      <name val="等线 Light"/>
      <charset val="134"/>
    </font>
    <font>
      <i/>
      <sz val="11"/>
      <color indexed="23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indexed="9"/>
      <name val="等线"/>
      <charset val="134"/>
    </font>
    <font>
      <sz val="11"/>
      <color rgb="FFFA7D00"/>
      <name val="等线"/>
      <charset val="134"/>
    </font>
    <font>
      <b/>
      <sz val="11"/>
      <color indexed="8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570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1"/>
      <color indexed="8"/>
      <name val="Tahoma"/>
      <charset val="134"/>
    </font>
  </fonts>
  <fills count="32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  <border>
      <left/>
      <right/>
      <top/>
      <bottom style="medium">
        <color rgb="FF8EA9D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472C4"/>
      </top>
      <bottom style="double">
        <color rgb="FF4472C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</cellStyleXfs>
  <cellXfs count="30">
    <xf numFmtId="0" fontId="0" fillId="0" borderId="0" xfId="0"/>
    <xf numFmtId="0" fontId="1" fillId="0" borderId="0" xfId="0" applyFont="1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57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57" fontId="4" fillId="2" borderId="2" xfId="0" applyNumberFormat="1" applyFont="1" applyFill="1" applyBorder="1" applyAlignment="1">
      <alignment horizontal="center" vertical="center" wrapText="1"/>
    </xf>
    <xf numFmtId="57" fontId="4" fillId="2" borderId="3" xfId="0" applyNumberFormat="1" applyFont="1" applyFill="1" applyBorder="1" applyAlignment="1">
      <alignment horizontal="center" vertical="center" wrapText="1"/>
    </xf>
    <xf numFmtId="57" fontId="4" fillId="2" borderId="4" xfId="0" applyNumberFormat="1" applyFont="1" applyFill="1" applyBorder="1" applyAlignment="1">
      <alignment horizontal="center" vertical="center" wrapText="1"/>
    </xf>
    <xf numFmtId="57" fontId="4" fillId="2" borderId="5" xfId="0" applyNumberFormat="1" applyFont="1" applyFill="1" applyBorder="1" applyAlignment="1">
      <alignment horizontal="center" vertical="center" wrapText="1"/>
    </xf>
    <xf numFmtId="57" fontId="4" fillId="2" borderId="6" xfId="0" applyNumberFormat="1" applyFont="1" applyFill="1" applyBorder="1" applyAlignment="1">
      <alignment horizontal="center" vertical="center" wrapText="1"/>
    </xf>
    <xf numFmtId="57" fontId="4" fillId="2" borderId="7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8 2 3 6" xfId="49"/>
    <cellStyle name="常规 42" xfId="50"/>
  </cellStyles>
  <tableStyles count="0" defaultTableStyle="TableStyleMedium2" defaultPivotStyle="PivotStyleLight16"/>
  <colors>
    <mruColors>
      <color rgb="00E2EFDA"/>
      <color rgb="00FF0000"/>
      <color rgb="0092D05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zoomScale="160" zoomScaleNormal="160" zoomScaleSheetLayoutView="60" workbookViewId="0">
      <selection activeCell="H9" sqref="H9"/>
    </sheetView>
  </sheetViews>
  <sheetFormatPr defaultColWidth="9" defaultRowHeight="14.25"/>
  <cols>
    <col min="1" max="1" width="2.875" style="3" customWidth="1"/>
    <col min="2" max="2" width="10.2833333333333" style="4" customWidth="1"/>
    <col min="3" max="3" width="15.0916666666667" style="5" customWidth="1"/>
    <col min="4" max="4" width="12.825" style="5" customWidth="1"/>
    <col min="5" max="6" width="9.625" style="5" customWidth="1"/>
    <col min="7" max="7" width="10.375" style="5" customWidth="1"/>
    <col min="8" max="8" width="13.15" style="5" customWidth="1"/>
    <col min="9" max="9" width="10.375" style="5" customWidth="1"/>
    <col min="10" max="11" width="10" style="5" customWidth="1"/>
    <col min="12" max="12" width="10.25" style="4" customWidth="1"/>
    <col min="13" max="13" width="12.375" style="4" customWidth="1"/>
    <col min="14" max="14" width="10" style="5" customWidth="1"/>
    <col min="15" max="15" width="11.15" style="5" customWidth="1"/>
    <col min="16" max="16" width="11.4333333333333" style="5" customWidth="1"/>
    <col min="17" max="17" width="9.23333333333333" style="4" customWidth="1"/>
    <col min="18" max="18" width="10.375" style="4"/>
    <col min="19" max="19" width="12" style="4" customWidth="1"/>
    <col min="20" max="16384" width="9" style="4"/>
  </cols>
  <sheetData>
    <row r="1" ht="18.95" customHeight="1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5" t="s">
        <v>1</v>
      </c>
    </row>
    <row r="2" ht="29.25" customHeight="1" spans="1:18">
      <c r="A2" s="7" t="s">
        <v>2</v>
      </c>
      <c r="B2" s="8" t="s">
        <v>3</v>
      </c>
      <c r="C2" s="9" t="s">
        <v>4</v>
      </c>
      <c r="D2" s="9"/>
      <c r="E2" s="9"/>
      <c r="F2" s="9"/>
      <c r="G2" s="9"/>
      <c r="H2" s="10" t="s">
        <v>5</v>
      </c>
      <c r="I2" s="10"/>
      <c r="J2" s="10"/>
      <c r="K2" s="10"/>
      <c r="L2" s="10"/>
      <c r="M2" s="11" t="s">
        <v>6</v>
      </c>
      <c r="N2" s="10" t="s">
        <v>7</v>
      </c>
      <c r="O2" s="9" t="s">
        <v>8</v>
      </c>
      <c r="P2" s="9"/>
      <c r="Q2" s="9" t="s">
        <v>9</v>
      </c>
      <c r="R2" s="9"/>
    </row>
    <row r="3" s="1" customFormat="1" ht="26.25" customHeight="1" spans="1:18">
      <c r="A3" s="7"/>
      <c r="B3" s="8"/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10</v>
      </c>
      <c r="I3" s="10" t="s">
        <v>11</v>
      </c>
      <c r="J3" s="10" t="s">
        <v>12</v>
      </c>
      <c r="K3" s="10" t="s">
        <v>13</v>
      </c>
      <c r="L3" s="11" t="s">
        <v>14</v>
      </c>
      <c r="M3" s="11"/>
      <c r="N3" s="10"/>
      <c r="O3" s="9" t="s">
        <v>15</v>
      </c>
      <c r="P3" s="9" t="s">
        <v>16</v>
      </c>
      <c r="Q3" s="9" t="s">
        <v>15</v>
      </c>
      <c r="R3" s="9" t="s">
        <v>16</v>
      </c>
    </row>
    <row r="4" ht="18" customHeight="1" spans="1:18">
      <c r="A4" s="11" t="s">
        <v>17</v>
      </c>
      <c r="B4" s="12">
        <v>2026.01</v>
      </c>
      <c r="C4" s="13">
        <v>588177.09</v>
      </c>
      <c r="D4" s="10"/>
      <c r="E4" s="10"/>
      <c r="F4" s="10"/>
      <c r="G4" s="14"/>
      <c r="H4" s="14"/>
      <c r="I4" s="14"/>
      <c r="J4" s="14"/>
      <c r="K4" s="14"/>
      <c r="L4" s="13"/>
      <c r="M4" s="13"/>
      <c r="N4" s="15"/>
      <c r="O4" s="16">
        <v>14850</v>
      </c>
      <c r="P4" s="16"/>
      <c r="Q4" s="16">
        <f>O4/1.03</f>
        <v>14417.4757281553</v>
      </c>
      <c r="R4" s="16"/>
    </row>
    <row r="5" ht="18" customHeight="1" spans="1:18">
      <c r="A5" s="11">
        <v>2</v>
      </c>
      <c r="B5" s="12">
        <v>2026.02</v>
      </c>
      <c r="C5" s="13">
        <f>1081527.16</f>
        <v>1081527.16</v>
      </c>
      <c r="D5" s="17"/>
      <c r="E5" s="17">
        <f>205</f>
        <v>205</v>
      </c>
      <c r="F5" s="17">
        <f>120794.9-205</f>
        <v>120589.9</v>
      </c>
      <c r="G5" s="13"/>
      <c r="H5" s="13">
        <f>1173709.19+77.67</f>
        <v>1173786.86</v>
      </c>
      <c r="I5" s="14"/>
      <c r="J5" s="17">
        <f>205</f>
        <v>205</v>
      </c>
      <c r="K5" s="17">
        <f>101677.1-205</f>
        <v>101472.1</v>
      </c>
      <c r="L5" s="12"/>
      <c r="M5" s="12"/>
      <c r="N5" s="18"/>
      <c r="O5" s="16">
        <v>29610</v>
      </c>
      <c r="P5" s="16"/>
      <c r="Q5" s="16">
        <v>28786.0232625204</v>
      </c>
      <c r="R5" s="16"/>
    </row>
    <row r="6" ht="18" customHeight="1" spans="1:18">
      <c r="A6" s="11">
        <v>3</v>
      </c>
      <c r="B6" s="12">
        <v>2026.03</v>
      </c>
      <c r="C6" s="13">
        <f>1288839.79+366.99</f>
        <v>1289206.78</v>
      </c>
      <c r="D6" s="13"/>
      <c r="E6" s="13">
        <f>6675.82-366.99</f>
        <v>6308.83</v>
      </c>
      <c r="F6" s="13">
        <v>2389.38</v>
      </c>
      <c r="G6" s="13"/>
      <c r="H6" s="13">
        <f>969003.72+366.99</f>
        <v>969370.71</v>
      </c>
      <c r="I6" s="14"/>
      <c r="J6" s="14">
        <f>6675.82-366.99</f>
        <v>6308.83</v>
      </c>
      <c r="K6" s="14">
        <v>2389.38</v>
      </c>
      <c r="L6" s="12"/>
      <c r="M6" s="12">
        <v>181.42</v>
      </c>
      <c r="N6" s="19"/>
      <c r="O6" s="16">
        <v>30430</v>
      </c>
      <c r="P6" s="16">
        <v>15900</v>
      </c>
      <c r="Q6" s="16">
        <f>O6/1.03</f>
        <v>29543.6893203883</v>
      </c>
      <c r="R6" s="16">
        <f t="shared" ref="R6:R10" si="0">P6/1.03</f>
        <v>15436.8932038835</v>
      </c>
    </row>
    <row r="7" ht="18" customHeight="1" spans="1:18">
      <c r="A7" s="11">
        <v>4</v>
      </c>
      <c r="B7" s="12">
        <v>2026.04</v>
      </c>
      <c r="C7" s="13">
        <v>1177837.74</v>
      </c>
      <c r="D7" s="13"/>
      <c r="E7" s="13">
        <v>6206</v>
      </c>
      <c r="F7" s="13"/>
      <c r="G7" s="13"/>
      <c r="H7" s="13">
        <v>810539.87</v>
      </c>
      <c r="I7" s="13"/>
      <c r="J7" s="13">
        <v>6206</v>
      </c>
      <c r="K7" s="13"/>
      <c r="L7" s="12"/>
      <c r="M7" s="12">
        <v>181.42</v>
      </c>
      <c r="N7" s="19"/>
      <c r="O7" s="16">
        <v>39110</v>
      </c>
      <c r="P7" s="16">
        <v>5900</v>
      </c>
      <c r="Q7" s="16">
        <f>O7/1.03</f>
        <v>37970.8737864078</v>
      </c>
      <c r="R7" s="16">
        <f t="shared" si="0"/>
        <v>5728.15533980582</v>
      </c>
    </row>
    <row r="8" ht="18" customHeight="1" spans="1:18">
      <c r="A8" s="11">
        <v>5</v>
      </c>
      <c r="B8" s="12">
        <v>2026.05</v>
      </c>
      <c r="C8" s="13">
        <v>1045008.6</v>
      </c>
      <c r="D8" s="13">
        <v>3058.25</v>
      </c>
      <c r="E8" s="13">
        <v>2800</v>
      </c>
      <c r="F8" s="13">
        <v>57791.61</v>
      </c>
      <c r="G8" s="13"/>
      <c r="H8" s="13">
        <f>2055606.41-218141.49</f>
        <v>1837464.92</v>
      </c>
      <c r="I8" s="13">
        <v>3058.25</v>
      </c>
      <c r="J8" s="13">
        <v>2800</v>
      </c>
      <c r="K8" s="13">
        <v>57791.61</v>
      </c>
      <c r="L8" s="12"/>
      <c r="M8" s="12">
        <v>181.42</v>
      </c>
      <c r="N8" s="19"/>
      <c r="O8" s="16">
        <v>50240</v>
      </c>
      <c r="P8" s="16">
        <v>5900</v>
      </c>
      <c r="Q8" s="16">
        <f>O8/1.03</f>
        <v>48776.6990291262</v>
      </c>
      <c r="R8" s="16">
        <f t="shared" si="0"/>
        <v>5728.15533980582</v>
      </c>
    </row>
    <row r="9" ht="18" customHeight="1" spans="1:18">
      <c r="A9" s="11">
        <v>6</v>
      </c>
      <c r="B9" s="12">
        <v>2026.06</v>
      </c>
      <c r="C9" s="13">
        <f>879199.2-179.47</f>
        <v>879019.73</v>
      </c>
      <c r="D9" s="13"/>
      <c r="E9" s="13">
        <f>380-11.07</f>
        <v>368.93</v>
      </c>
      <c r="F9" s="13">
        <f>9118.49-94.22</f>
        <v>9024.27</v>
      </c>
      <c r="G9" s="13"/>
      <c r="H9" s="13">
        <f>1287504.35-179.47</f>
        <v>1287324.88</v>
      </c>
      <c r="I9" s="13"/>
      <c r="J9" s="13">
        <f>380-11.07</f>
        <v>368.93</v>
      </c>
      <c r="K9" s="13">
        <f>10526.26-94.22</f>
        <v>10432.04</v>
      </c>
      <c r="L9" s="12"/>
      <c r="M9" s="12">
        <v>181.42</v>
      </c>
      <c r="N9" s="19"/>
      <c r="O9" s="16">
        <v>57255</v>
      </c>
      <c r="P9" s="16">
        <v>5900</v>
      </c>
      <c r="Q9" s="16">
        <v>55587.3786407767</v>
      </c>
      <c r="R9" s="16">
        <f t="shared" si="0"/>
        <v>5728.15533980582</v>
      </c>
    </row>
    <row r="10" ht="18" customHeight="1" spans="1:18">
      <c r="A10" s="11">
        <v>7</v>
      </c>
      <c r="B10" s="12">
        <v>2026.07</v>
      </c>
      <c r="C10" s="13">
        <v>1199831.63</v>
      </c>
      <c r="D10" s="13">
        <v>3600</v>
      </c>
      <c r="E10" s="13"/>
      <c r="F10" s="13"/>
      <c r="G10" s="13"/>
      <c r="H10" s="13">
        <v>1199831.65</v>
      </c>
      <c r="I10" s="13">
        <v>3600</v>
      </c>
      <c r="J10" s="13"/>
      <c r="K10" s="13"/>
      <c r="L10" s="12"/>
      <c r="M10" s="12">
        <v>181.42</v>
      </c>
      <c r="N10" s="19"/>
      <c r="O10" s="16">
        <v>69290</v>
      </c>
      <c r="P10" s="16">
        <v>5900</v>
      </c>
      <c r="Q10" s="16">
        <v>67271.8446601941</v>
      </c>
      <c r="R10" s="16">
        <f t="shared" si="0"/>
        <v>5728.15533980582</v>
      </c>
    </row>
    <row r="11" ht="18" customHeight="1" spans="1:18">
      <c r="A11" s="11">
        <v>8</v>
      </c>
      <c r="B11" s="12">
        <v>2026.08</v>
      </c>
      <c r="C11" s="13">
        <v>922967.29</v>
      </c>
      <c r="D11" s="13">
        <v>12304.05</v>
      </c>
      <c r="E11" s="13">
        <v>6595.15</v>
      </c>
      <c r="F11" s="13"/>
      <c r="G11" s="13">
        <v>64141.6</v>
      </c>
      <c r="H11" s="13">
        <v>922967.3</v>
      </c>
      <c r="I11" s="13">
        <v>12304.05</v>
      </c>
      <c r="J11" s="13">
        <v>6595.15</v>
      </c>
      <c r="K11" s="13"/>
      <c r="L11" s="12">
        <v>64141.6</v>
      </c>
      <c r="M11" s="12">
        <v>181.42</v>
      </c>
      <c r="N11" s="19"/>
      <c r="O11" s="16">
        <v>81400</v>
      </c>
      <c r="P11" s="16">
        <v>5900</v>
      </c>
      <c r="Q11" s="16">
        <v>79029.1262135923</v>
      </c>
      <c r="R11" s="16">
        <v>5728.15533980582</v>
      </c>
    </row>
    <row r="12" ht="21.95" customHeight="1" spans="1:18">
      <c r="A12" s="20"/>
      <c r="B12" s="21" t="s">
        <v>18</v>
      </c>
      <c r="C12" s="22">
        <f t="shared" ref="C12:R12" si="1">SUM(C4:C11)</f>
        <v>8183576.02</v>
      </c>
      <c r="D12" s="22">
        <f t="shared" si="1"/>
        <v>18962.3</v>
      </c>
      <c r="E12" s="22">
        <f t="shared" si="1"/>
        <v>22483.91</v>
      </c>
      <c r="F12" s="22">
        <f t="shared" si="1"/>
        <v>189795.16</v>
      </c>
      <c r="G12" s="22">
        <f t="shared" si="1"/>
        <v>64141.6</v>
      </c>
      <c r="H12" s="22">
        <f t="shared" si="1"/>
        <v>8201286.19</v>
      </c>
      <c r="I12" s="22">
        <f t="shared" si="1"/>
        <v>18962.3</v>
      </c>
      <c r="J12" s="22">
        <f t="shared" si="1"/>
        <v>22483.91</v>
      </c>
      <c r="K12" s="22">
        <f t="shared" si="1"/>
        <v>172085.13</v>
      </c>
      <c r="L12" s="22">
        <f t="shared" si="1"/>
        <v>64141.6</v>
      </c>
      <c r="M12" s="22">
        <f t="shared" si="1"/>
        <v>1088.52</v>
      </c>
      <c r="N12" s="22">
        <f t="shared" si="1"/>
        <v>0</v>
      </c>
      <c r="O12" s="22">
        <f t="shared" si="1"/>
        <v>372185</v>
      </c>
      <c r="P12" s="22">
        <f t="shared" si="1"/>
        <v>45400</v>
      </c>
      <c r="Q12" s="22">
        <f t="shared" si="1"/>
        <v>361383.110641161</v>
      </c>
      <c r="R12" s="22">
        <f t="shared" si="1"/>
        <v>44077.6699029126</v>
      </c>
    </row>
    <row r="13" ht="21.95" customHeight="1" spans="1:18">
      <c r="A13" s="20"/>
      <c r="B13" s="21" t="s">
        <v>19</v>
      </c>
      <c r="C13" s="23">
        <f>SUM(C12:G12)</f>
        <v>8478958.99</v>
      </c>
      <c r="D13" s="23"/>
      <c r="E13" s="23"/>
      <c r="F13" s="23"/>
      <c r="G13" s="23"/>
      <c r="H13" s="23">
        <f>SUM(H12:L12)</f>
        <v>8478959.13</v>
      </c>
      <c r="I13" s="23"/>
      <c r="J13" s="23"/>
      <c r="K13" s="23"/>
      <c r="L13" s="23"/>
      <c r="M13" s="23">
        <f>SUM(M12:P12)</f>
        <v>418673.52</v>
      </c>
      <c r="N13" s="23"/>
      <c r="O13" s="23"/>
      <c r="P13" s="23"/>
      <c r="Q13" s="23">
        <f>SUM(Q12:R12)</f>
        <v>405460.780544074</v>
      </c>
      <c r="R13" s="23"/>
    </row>
    <row r="14" customFormat="1" ht="21.95" customHeight="1" spans="1:18">
      <c r="A14" s="24" t="s">
        <v>20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6"/>
    </row>
    <row r="15" s="2" customFormat="1" ht="38.25" customHeight="1" spans="1:18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</row>
    <row r="18" spans="12:13">
      <c r="L18" s="5"/>
      <c r="M18" s="5"/>
    </row>
  </sheetData>
  <mergeCells count="14">
    <mergeCell ref="A1:O1"/>
    <mergeCell ref="C2:G2"/>
    <mergeCell ref="H2:L2"/>
    <mergeCell ref="O2:P2"/>
    <mergeCell ref="Q2:R2"/>
    <mergeCell ref="C13:G13"/>
    <mergeCell ref="H13:L13"/>
    <mergeCell ref="M13:P13"/>
    <mergeCell ref="Q13:R13"/>
    <mergeCell ref="A2:A3"/>
    <mergeCell ref="B2:B3"/>
    <mergeCell ref="M2:M3"/>
    <mergeCell ref="N2:N3"/>
    <mergeCell ref="A14:R15"/>
  </mergeCells>
  <pageMargins left="0.393055555555556" right="0.393055555555556" top="0.984027777777778" bottom="0.984027777777778" header="0.511111111111111" footer="0.511111111111111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2304FPN6DC</dc:creator>
  <cp:lastModifiedBy>史程远</cp:lastModifiedBy>
  <dcterms:created xsi:type="dcterms:W3CDTF">1996-12-17T01:32:00Z</dcterms:created>
  <dcterms:modified xsi:type="dcterms:W3CDTF">2026-09-14T01:12:14Z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KSOProductBuildVer">
    <vt:lpwstr>2052-12.1.0.28488</vt:lpwstr>
  </property>
  <property fmtid="{D5CDD505-2E9C-101B-9397-08002B2CF9AE}" pid="5" name="ICV">
    <vt:lpwstr>3E42114A3DFF492FAB3FA7DE5553859A_13</vt:lpwstr>
  </property>
</Properties>
</file>