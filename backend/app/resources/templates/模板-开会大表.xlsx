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\AI\PRD编写夹 - Workbuddy专用\demo\模板\"/>
    </mc:Choice>
  </mc:AlternateContent>
  <bookViews>
    <workbookView windowWidth="18345" windowHeight="17655"/>
  </bookViews>
  <sheets>
    <sheet name="Sheet1" sheetId="1" r:id="rId1"/>
  </sheets>
  <definedNames>
    <definedName name="_xlnm.Print_Area" localSheetId="0">Sheet1!$A$1:$T$13</definedName>
    <definedName name="DATA_START">Sheet1!$A$5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<sst xmlns="http://schemas.openxmlformats.org/spreadsheetml/2006/main" count="42" uniqueCount="37">
  <si>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第四工程公司在建项目辅材及机械费统计表（数据截止8月31日）（8月份数据）</t>
  </si>
  <si>
    <t>单位：元</t>
  </si>
  <si>
    <t>序号</t>
  </si>
  <si>
    <t>项目名称</t>
  </si>
  <si>
    <t>开工   时间</t>
  </si>
  <si>
    <t>辅材使用（不含税）</t>
  </si>
  <si>
    <t>外租使用（含税）</t>
  </si>
  <si>
    <t>产值</t>
  </si>
  <si>
    <t>主材累计
（含税）</t>
  </si>
  <si>
    <t>工程用油</t>
  </si>
  <si>
    <t>备注</t>
  </si>
  <si>
    <t>焊材</t>
  </si>
  <si>
    <t>三气</t>
  </si>
  <si>
    <t>外租机械</t>
  </si>
  <si>
    <t>设备租赁
（含内租）</t>
  </si>
  <si>
    <t>合计</t>
  </si>
  <si>
    <t>机械费测算</t>
  </si>
  <si>
    <t>使用率</t>
  </si>
  <si>
    <t>产值完成率</t>
  </si>
  <si>
    <t>合同
（预估）价</t>
  </si>
  <si>
    <t>产值累计（含税）</t>
  </si>
  <si>
    <t>累计</t>
  </si>
  <si>
    <t>当月</t>
  </si>
  <si>
    <t>开工累计</t>
  </si>
  <si>
    <t>DATA_START</t>
  </si>
  <si>
    <t>晋江紫盈</t>
  </si>
  <si>
    <t>乌兰察布储能</t>
  </si>
  <si>
    <t>大唐雷州</t>
  </si>
  <si>
    <t>新疆慧能横窑</t>
  </si>
  <si>
    <t>25T吊车4台，12T随车吊3台，2T叉车一台，22米直臂车一台，12米升降车7台</t>
  </si>
  <si>
    <t>太康龙源纸业</t>
  </si>
  <si>
    <t>塔吊1台</t>
  </si>
  <si>
    <t>内蒙古宜化</t>
  </si>
  <si>
    <t>福建南平项目</t>
  </si>
  <si>
    <t>安徽国风项目</t>
  </si>
  <si>
    <t>12米升降车1台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</si>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</sst>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13"/>
  <sheetViews>
    <sheetView tabSelected="1"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D6" sqref="D6"/>
    </sheetView>
  </sheetViews>
  <sheetFormatPr defaultColWidth="9" defaultRowHeight="13.5"/>
  <cols>
    <col min="1" max="1" width="4.06666666666667" style="3" customWidth="1"/>
    <col min="2" max="2" width="12.7166666666667" style="3" customWidth="1"/>
    <col min="3" max="3" width="7.825" style="3" customWidth="1"/>
    <col min="4" max="4" width="11.5916666666667" style="3" customWidth="1"/>
    <col min="5" max="5" width="11.3166666666667" style="3" customWidth="1"/>
    <col min="6" max="6" width="12.0416666666667" style="3" customWidth="1"/>
    <col min="7" max="7" width="9.925" style="3" customWidth="1"/>
    <col min="8" max="8" width="12.975" style="3" customWidth="1"/>
    <col min="9" max="9" width="11.0833333333333" style="3" customWidth="1"/>
    <col min="10" max="10" width="9.4" style="3" customWidth="1"/>
    <col min="11" max="11" width="8.525" style="3" customWidth="1"/>
    <col min="12" max="12" width="10.3833333333333" style="3" customWidth="1"/>
    <col min="13" max="13" width="12.7333333333333" style="3" customWidth="1"/>
    <col min="14" max="14" width="9.26666666666667" style="3" customWidth="1"/>
    <col min="15" max="15" width="11.5916666666667" style="3" customWidth="1"/>
    <col min="16" max="16" width="11.4416666666667" style="3" customWidth="1"/>
    <col min="17" max="17" width="10.5833333333333" style="3" customWidth="1"/>
    <col min="18" max="18" width="13.8166666666667" style="4" customWidth="1"/>
    <col min="19" max="19" width="11.7666666666667" style="5" customWidth="1"/>
    <col min="20" max="20" width="25.7333333333333" style="6" customWidth="1"/>
    <col min="21" max="16384" width="9" style="2"/>
  </cols>
  <sheetData>
    <row r="1" ht="32" customHeight="1" spans="1:2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9" t="s">
        <v>1</v>
      </c>
    </row>
    <row r="2" ht="31" customHeight="1" spans="1:20">
      <c r="A2" s="10" t="s">
        <v>2</v>
      </c>
      <c r="B2" s="10" t="s">
        <v>3</v>
      </c>
      <c r="C2" s="10" t="s">
        <v>4</v>
      </c>
      <c r="D2" s="10" t="s">
        <v>5</v>
      </c>
      <c r="E2" s="10"/>
      <c r="F2" s="10"/>
      <c r="G2" s="10"/>
      <c r="H2" s="11" t="s">
        <v>6</v>
      </c>
      <c r="I2" s="11"/>
      <c r="J2" s="11"/>
      <c r="K2" s="11"/>
      <c r="L2" s="11"/>
      <c r="M2" s="11"/>
      <c r="N2" s="11"/>
      <c r="O2" s="10" t="s">
        <v>7</v>
      </c>
      <c r="P2" s="10"/>
      <c r="Q2" s="10"/>
      <c r="R2" s="12" t="s">
        <v>8</v>
      </c>
      <c r="S2" s="13" t="s">
        <v>9</v>
      </c>
      <c r="T2" s="10" t="s">
        <v>10</v>
      </c>
    </row>
    <row r="3" s="1" customFormat="1" ht="31" customHeight="1" spans="1:20">
      <c r="A3" s="10"/>
      <c r="B3" s="10"/>
      <c r="C3" s="10"/>
      <c r="D3" s="11" t="s">
        <v>11</v>
      </c>
      <c r="E3" s="11"/>
      <c r="F3" s="11" t="s">
        <v>12</v>
      </c>
      <c r="G3" s="11"/>
      <c r="H3" s="11" t="s">
        <v>13</v>
      </c>
      <c r="I3" s="11"/>
      <c r="J3" s="10" t="s">
        <v>14</v>
      </c>
      <c r="K3" s="10"/>
      <c r="L3" s="14" t="s">
        <v>15</v>
      </c>
      <c r="M3" s="14" t="s">
        <v>16</v>
      </c>
      <c r="N3" s="14" t="s">
        <v>17</v>
      </c>
      <c r="O3" s="10" t="s">
        <v>18</v>
      </c>
      <c r="P3" s="10" t="s">
        <v>19</v>
      </c>
      <c r="Q3" s="10" t="s">
        <v>20</v>
      </c>
      <c r="R3" s="12"/>
      <c r="S3" s="15"/>
      <c r="T3" s="10"/>
    </row>
    <row r="4" s="1" customFormat="1" ht="31" customHeight="1" spans="1:20">
      <c r="A4" s="10"/>
      <c r="B4" s="10"/>
      <c r="C4" s="10"/>
      <c r="D4" s="11" t="s">
        <v>21</v>
      </c>
      <c r="E4" s="11" t="s">
        <v>22</v>
      </c>
      <c r="F4" s="11" t="s">
        <v>21</v>
      </c>
      <c r="G4" s="11" t="s">
        <v>22</v>
      </c>
      <c r="H4" s="11" t="s">
        <v>23</v>
      </c>
      <c r="I4" s="11" t="s">
        <v>22</v>
      </c>
      <c r="J4" s="11" t="s">
        <v>23</v>
      </c>
      <c r="K4" s="11" t="s">
        <v>22</v>
      </c>
      <c r="L4" s="16"/>
      <c r="M4" s="16"/>
      <c r="N4" s="16"/>
      <c r="O4" s="10"/>
      <c r="P4" s="10"/>
      <c r="Q4" s="10"/>
      <c r="R4" s="12"/>
      <c r="S4" s="17"/>
      <c r="T4" s="10"/>
    </row>
    <row r="5" s="2" customFormat="1" ht="71" customHeight="1" spans="1:20">
      <c r="A5" s="18" t="s">
        <v>24</v>
      </c>
      <c r="B5" s="19" t="s">
        <v>25</v>
      </c>
      <c r="C5" s="19">
        <v>2024.05</v>
      </c>
      <c r="D5" s="19">
        <v>255263.01</v>
      </c>
      <c r="E5" s="20">
        <v>665</v>
      </c>
      <c r="F5" s="19">
        <v>233707.66</v>
      </c>
      <c r="G5" s="20">
        <v>3832.75</v>
      </c>
      <c r="H5" s="19">
        <v>1288791.06</v>
      </c>
      <c r="I5" s="21">
        <v>23940</v>
      </c>
      <c r="J5" s="19">
        <v>163612</v>
      </c>
      <c r="K5" s="20">
        <v>30</v>
      </c>
      <c r="L5" s="19">
        <f t="shared" ref="L5:L12" si="0">H5+J5</f>
        <v>1452403.06</v>
      </c>
      <c r="M5" s="19">
        <f>840000+1151500</f>
        <v>1991500</v>
      </c>
      <c r="N5" s="22">
        <f>L5/M5</f>
        <v>0.729301059502887</v>
      </c>
      <c r="O5" s="22">
        <f>Q5/P5</f>
        <v>0.922233963941773</v>
      </c>
      <c r="P5" s="19">
        <v>133162400</v>
      </c>
      <c r="Q5" s="19">
        <v>122806888</v>
      </c>
      <c r="R5" s="23">
        <v>74215006.99</v>
      </c>
      <c r="S5" s="23">
        <v>115000</v>
      </c>
      <c r="T5" s="24"/>
    </row>
    <row r="6" s="2" customFormat="1" ht="71" customHeight="1" spans="1:20">
      <c r="A6" s="18">
        <v>2</v>
      </c>
      <c r="B6" s="19" t="s">
        <v>26</v>
      </c>
      <c r="C6" s="19">
        <v>2024.07</v>
      </c>
      <c r="D6" s="19">
        <v>141337.32</v>
      </c>
      <c r="E6" s="20"/>
      <c r="F6" s="19">
        <v>90504.17</v>
      </c>
      <c r="G6" s="20"/>
      <c r="H6" s="19">
        <v>2506206.122</v>
      </c>
      <c r="I6" s="20"/>
      <c r="J6" s="19">
        <v>115997</v>
      </c>
      <c r="K6" s="20"/>
      <c r="L6" s="19">
        <f t="shared" si="0"/>
        <v>2622203.122</v>
      </c>
      <c r="M6" s="19">
        <v>2400000</v>
      </c>
      <c r="N6" s="22">
        <f>L6/M6</f>
        <v>1.09258463416667</v>
      </c>
      <c r="O6" s="22">
        <f>Q6/P6</f>
        <v>0.96549367953536</v>
      </c>
      <c r="P6" s="19">
        <v>58540000</v>
      </c>
      <c r="Q6" s="19">
        <v>56520000</v>
      </c>
      <c r="R6" s="23">
        <v>15811341.802</v>
      </c>
      <c r="S6" s="23">
        <v>80000</v>
      </c>
      <c r="T6" s="24"/>
    </row>
    <row r="7" ht="71" customHeight="1" spans="1:20">
      <c r="A7" s="18">
        <v>3</v>
      </c>
      <c r="B7" s="19" t="s">
        <v>27</v>
      </c>
      <c r="C7" s="19">
        <v>2024.11</v>
      </c>
      <c r="D7" s="19">
        <v>77652.19</v>
      </c>
      <c r="E7" s="20"/>
      <c r="F7" s="19">
        <v>33282.29</v>
      </c>
      <c r="G7" s="20"/>
      <c r="H7" s="19">
        <v>181699.17</v>
      </c>
      <c r="I7" s="20"/>
      <c r="J7" s="19">
        <v>0</v>
      </c>
      <c r="K7" s="20"/>
      <c r="L7" s="19">
        <f t="shared" si="0"/>
        <v>181699.17</v>
      </c>
      <c r="M7" s="19">
        <v>185000</v>
      </c>
      <c r="N7" s="22">
        <f t="shared" ref="N7:N12" si="1">L7/M7</f>
        <v>0.982157675675676</v>
      </c>
      <c r="O7" s="22">
        <f t="shared" ref="O7:O12" si="2">Q7/P7</f>
        <v>1.01576289725648</v>
      </c>
      <c r="P7" s="19">
        <v>6673900</v>
      </c>
      <c r="Q7" s="19">
        <v>6779100</v>
      </c>
      <c r="R7" s="23">
        <v>1385979.28</v>
      </c>
      <c r="S7" s="23"/>
      <c r="T7" s="24"/>
    </row>
    <row r="8" s="1" customFormat="1" ht="71" customHeight="1" spans="1:20">
      <c r="A8" s="18">
        <v>4</v>
      </c>
      <c r="B8" s="19" t="s">
        <v>28</v>
      </c>
      <c r="C8" s="19">
        <v>2025.9</v>
      </c>
      <c r="D8" s="19">
        <v>2392153.85</v>
      </c>
      <c r="E8" s="20">
        <v>68496.87</v>
      </c>
      <c r="F8" s="19">
        <v>583679.42</v>
      </c>
      <c r="G8" s="20">
        <v>20867.74</v>
      </c>
      <c r="H8" s="19">
        <v>2729584.94333333</v>
      </c>
      <c r="I8" s="20">
        <v>402033.34</v>
      </c>
      <c r="J8" s="19">
        <v>18209</v>
      </c>
      <c r="K8" s="20">
        <v>667</v>
      </c>
      <c r="L8" s="19">
        <f t="shared" si="0"/>
        <v>2747793.94333333</v>
      </c>
      <c r="M8" s="19">
        <v>3626000</v>
      </c>
      <c r="N8" s="22">
        <f t="shared" si="1"/>
        <v>0.757803073175215</v>
      </c>
      <c r="O8" s="22">
        <f t="shared" si="2"/>
        <v>0.694324869268135</v>
      </c>
      <c r="P8" s="19">
        <v>55636780</v>
      </c>
      <c r="Q8" s="19">
        <v>38630000</v>
      </c>
      <c r="R8" s="19">
        <v>2892829.49</v>
      </c>
      <c r="S8" s="23">
        <v>270000</v>
      </c>
      <c r="T8" s="24" t="s">
        <v>29</v>
      </c>
    </row>
    <row r="9" s="1" customFormat="1" ht="71" customHeight="1" spans="1:20">
      <c r="A9" s="18">
        <v>5</v>
      </c>
      <c r="B9" s="19" t="s">
        <v>30</v>
      </c>
      <c r="C9" s="19">
        <v>2026.1</v>
      </c>
      <c r="D9" s="19">
        <v>7710.84</v>
      </c>
      <c r="E9" s="20">
        <v>3821.36</v>
      </c>
      <c r="F9" s="19">
        <v>0</v>
      </c>
      <c r="G9" s="20"/>
      <c r="H9" s="19">
        <v>417585</v>
      </c>
      <c r="I9" s="20">
        <v>87300</v>
      </c>
      <c r="J9" s="19">
        <v>0</v>
      </c>
      <c r="K9" s="20"/>
      <c r="L9" s="19">
        <f t="shared" si="0"/>
        <v>417585</v>
      </c>
      <c r="M9" s="19">
        <v>460000</v>
      </c>
      <c r="N9" s="22">
        <f t="shared" si="1"/>
        <v>0.90779347826087</v>
      </c>
      <c r="O9" s="22">
        <f t="shared" si="2"/>
        <v>0.571094851045756</v>
      </c>
      <c r="P9" s="19">
        <v>33942873</v>
      </c>
      <c r="Q9" s="19">
        <v>19384600</v>
      </c>
      <c r="R9" s="19">
        <v>8803723.96</v>
      </c>
      <c r="S9" s="23">
        <v>50000</v>
      </c>
      <c r="T9" s="24" t="s">
        <v>31</v>
      </c>
    </row>
    <row r="10" s="1" customFormat="1" ht="71" customHeight="1" spans="1:20">
      <c r="A10" s="18">
        <v>6</v>
      </c>
      <c r="B10" s="19" t="s">
        <v>32</v>
      </c>
      <c r="C10" s="19">
        <v>2026.3</v>
      </c>
      <c r="D10" s="19">
        <v>98581.12</v>
      </c>
      <c r="E10" s="20">
        <v>8608.37</v>
      </c>
      <c r="F10" s="19">
        <v>97068.97</v>
      </c>
      <c r="G10" s="20">
        <v>8008.85</v>
      </c>
      <c r="H10" s="19">
        <v>359216</v>
      </c>
      <c r="I10" s="20">
        <v>21866</v>
      </c>
      <c r="J10" s="19">
        <v>85333</v>
      </c>
      <c r="K10" s="20">
        <v>19000</v>
      </c>
      <c r="L10" s="19">
        <f t="shared" si="0"/>
        <v>444549</v>
      </c>
      <c r="M10" s="19">
        <v>600000</v>
      </c>
      <c r="N10" s="22">
        <f t="shared" si="1"/>
        <v>0.740915</v>
      </c>
      <c r="O10" s="22">
        <f t="shared" si="2"/>
        <v>0.631892411190205</v>
      </c>
      <c r="P10" s="19">
        <v>8162782</v>
      </c>
      <c r="Q10" s="19">
        <v>5158000</v>
      </c>
      <c r="R10" s="19">
        <v>413279.07</v>
      </c>
      <c r="S10" s="23">
        <v>50000</v>
      </c>
      <c r="T10" s="24"/>
    </row>
    <row r="11" s="1" customFormat="1" ht="71" customHeight="1" spans="1:20">
      <c r="A11" s="18">
        <v>7</v>
      </c>
      <c r="B11" s="19" t="s">
        <v>33</v>
      </c>
      <c r="C11" s="19">
        <v>2026.4</v>
      </c>
      <c r="D11" s="19">
        <v>84291.87</v>
      </c>
      <c r="E11" s="20">
        <v>2379.65</v>
      </c>
      <c r="F11" s="19">
        <v>73482.43</v>
      </c>
      <c r="G11" s="20">
        <v>12719.55</v>
      </c>
      <c r="H11" s="19">
        <v>512572</v>
      </c>
      <c r="I11" s="20">
        <v>39800</v>
      </c>
      <c r="J11" s="19">
        <v>60099</v>
      </c>
      <c r="K11" s="20">
        <v>1600</v>
      </c>
      <c r="L11" s="19">
        <f t="shared" si="0"/>
        <v>572671</v>
      </c>
      <c r="M11" s="19">
        <v>768000</v>
      </c>
      <c r="N11" s="22">
        <f t="shared" si="1"/>
        <v>0.745665364583333</v>
      </c>
      <c r="O11" s="22">
        <f t="shared" si="2"/>
        <v>0.960776231093636</v>
      </c>
      <c r="P11" s="19">
        <v>6307400</v>
      </c>
      <c r="Q11" s="19">
        <v>6060000</v>
      </c>
      <c r="R11" s="19"/>
      <c r="S11" s="23">
        <v>88104</v>
      </c>
      <c r="T11" s="24"/>
    </row>
    <row r="12" s="1" customFormat="1" ht="71" customHeight="1" spans="1:20">
      <c r="A12" s="18">
        <v>8</v>
      </c>
      <c r="B12" s="19" t="s">
        <v>34</v>
      </c>
      <c r="C12" s="19">
        <v>2026.8</v>
      </c>
      <c r="D12" s="19"/>
      <c r="E12" s="20"/>
      <c r="F12" s="19"/>
      <c r="G12" s="20"/>
      <c r="H12" s="19">
        <v>4500</v>
      </c>
      <c r="I12" s="20">
        <v>4500</v>
      </c>
      <c r="J12" s="19">
        <v>0</v>
      </c>
      <c r="K12" s="20"/>
      <c r="L12" s="19">
        <f t="shared" si="0"/>
        <v>4500</v>
      </c>
      <c r="M12" s="19">
        <v>1668000</v>
      </c>
      <c r="N12" s="22">
        <f t="shared" si="1"/>
        <v>0.00269784172661871</v>
      </c>
      <c r="O12" s="22">
        <f t="shared" si="2"/>
        <v>0.00518558850873586</v>
      </c>
      <c r="P12" s="19">
        <v>26997900</v>
      </c>
      <c r="Q12" s="19">
        <v>140000</v>
      </c>
      <c r="R12" s="19"/>
      <c r="S12" s="23"/>
      <c r="T12" s="24" t="s">
        <v>35</v>
      </c>
    </row>
    <row r="13" s="1" customFormat="1" ht="71" customHeight="1" spans="1:20">
      <c r="A13" s="25" t="s">
        <v>36</v>
      </c>
      <c r="B13" s="26"/>
      <c r="C13" s="27"/>
      <c r="D13" s="11">
        <f t="shared" ref="D13:M13" si="3">SUM(D5:D12)</f>
        <v>3056990.2</v>
      </c>
      <c r="E13" s="11">
        <f t="shared" si="3"/>
        <v>83971.25</v>
      </c>
      <c r="F13" s="11">
        <f t="shared" si="3"/>
        <v>1111724.94</v>
      </c>
      <c r="G13" s="11">
        <f t="shared" si="3"/>
        <v>45428.89</v>
      </c>
      <c r="H13" s="11">
        <f t="shared" si="3"/>
        <v>8000154.29533333</v>
      </c>
      <c r="I13" s="11">
        <f t="shared" si="3"/>
        <v>579439.34</v>
      </c>
      <c r="J13" s="11">
        <f t="shared" si="3"/>
        <v>443250</v>
      </c>
      <c r="K13" s="11">
        <f t="shared" si="3"/>
        <v>21297</v>
      </c>
      <c r="L13" s="11">
        <f t="shared" si="3"/>
        <v>8443404.29533333</v>
      </c>
      <c r="M13" s="11">
        <f t="shared" si="3"/>
        <v>11698500</v>
      </c>
      <c r="N13" s="11"/>
      <c r="O13" s="11"/>
      <c r="P13" s="11">
        <f>SUM(P5:P12)</f>
        <v>329424035</v>
      </c>
      <c r="Q13" s="11">
        <f>SUM(Q5:Q12)</f>
        <v>255478588</v>
      </c>
      <c r="R13" s="11">
        <f>SUM(R5:R12)</f>
        <v>103522160.592</v>
      </c>
      <c r="S13" s="11">
        <f>SUM(S5:S12)</f>
        <v>653104</v>
      </c>
      <c r="T13" s="28"/>
    </row>
  </sheetData>
  <mergeCells count="21">
    <mergeCell ref="A1:S1"/>
    <mergeCell ref="D2:G2"/>
    <mergeCell ref="H2:N2"/>
    <mergeCell ref="O2:Q2"/>
    <mergeCell ref="D3:E3"/>
    <mergeCell ref="F3:G3"/>
    <mergeCell ref="H3:I3"/>
    <mergeCell ref="J3:K3"/>
    <mergeCell ref="A13:C13"/>
    <mergeCell ref="A2:A4"/>
    <mergeCell ref="B2:B4"/>
    <mergeCell ref="C2:C4"/>
    <mergeCell ref="L3:L4"/>
    <mergeCell ref="M3:M4"/>
    <mergeCell ref="N3:N4"/>
    <mergeCell ref="O3:O4"/>
    <mergeCell ref="P3:P4"/>
    <mergeCell ref="Q3:Q4"/>
    <mergeCell ref="R2:R4"/>
    <mergeCell ref="S2:S4"/>
    <mergeCell ref="T2:T4"/>
  </mergeCells>
  <pageMargins left="0.699305555555556" right="0.699305555555556" top="0.75" bottom="0.75" header="0.3" footer="0.3"/>
  <pageSetup paperSize="8" scale="8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史程远</cp:lastModifiedBy>
  <dcterms:created xsi:type="dcterms:W3CDTF">2023-06-02T10:10:00Z</dcterms:created>
  <dcterms:modified xsi:type="dcterms:W3CDTF">2026-09-14T00:49:42Z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4D8AF50DFEE64B7EBA825547AFE0734E_13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